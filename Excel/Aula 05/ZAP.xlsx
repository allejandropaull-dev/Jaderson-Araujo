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Jaderson-Araujo\Excel\Aula 05\"/>
    </mc:Choice>
  </mc:AlternateContent>
  <xr:revisionPtr revIDLastSave="0" documentId="13_ncr:1_{EF5E253C-F3A8-4B02-9869-3B1A45106B3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RELATORIO" sheetId="1" r:id="rId1"/>
    <sheet name="FERIADOS" sheetId="2" r:id="rId2"/>
    <sheet name="Funçã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6" i="1"/>
  <c r="F6" i="1"/>
  <c r="F7" i="1"/>
  <c r="F8" i="1"/>
  <c r="F9" i="1"/>
  <c r="F10" i="1"/>
  <c r="F11" i="1"/>
  <c r="F12" i="1"/>
  <c r="F13" i="1"/>
  <c r="F14" i="1"/>
  <c r="F15" i="1"/>
  <c r="F16" i="1"/>
</calcChain>
</file>

<file path=xl/sharedStrings.xml><?xml version="1.0" encoding="utf-8"?>
<sst xmlns="http://schemas.openxmlformats.org/spreadsheetml/2006/main" count="32" uniqueCount="15">
  <si>
    <t>ZAP S/A - CONTROLE DE PAGAMENTOS ÀS EMPRESAS TERCEIRIZADAS</t>
  </si>
  <si>
    <t>EMPRESA</t>
  </si>
  <si>
    <t>ÁREA</t>
  </si>
  <si>
    <t>DATA INÍCIO CONTRATO</t>
  </si>
  <si>
    <t>DATA TÉRMINO CONTRATO</t>
  </si>
  <si>
    <t>CARGA HORÁRIA DIÁRIA</t>
  </si>
  <si>
    <t>DIAS ÚTEIS</t>
  </si>
  <si>
    <t>VALOR DO CONTRATO</t>
  </si>
  <si>
    <t>ADM MÃO DE OBRA</t>
  </si>
  <si>
    <t>CONTÁBIL TOTAL</t>
  </si>
  <si>
    <t>LUCAS BROS</t>
  </si>
  <si>
    <t>Administrativa</t>
  </si>
  <si>
    <t>Contabilidade</t>
  </si>
  <si>
    <t>VALOR/HORA:</t>
  </si>
  <si>
    <t>PERÍODO: 01/01/2013 A 31/07/2013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</si>
</sst>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312420</xdr:colOff>
      <xdr:row>0</xdr:row>
      <xdr:rowOff>220980</xdr:rowOff>
    </xdr:from>
    <xdr:to>
      <xdr:col>16</xdr:col>
      <xdr:colOff>387925</xdr:colOff>
      <xdr:row>14</xdr:row>
      <xdr:rowOff>167278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71BAF5-273D-4CB3-BE99-F4B34642B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3920" y="220980"/>
          <a:ext cx="5561905" cy="28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313524</xdr:colOff>
      <xdr:row>21</xdr:row>
      <xdr:rowOff>16663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0DBC47-2F4A-48D8-85E0-64ACBC6EE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09524" cy="3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22" sqref="H22"/>
    </sheetView>
  </sheetViews>
  <sheetFormatPr defaultRowHeight="15" x14ac:dyDescent="0.25"/>
  <cols>
    <col min="1" max="1" width="22.140625" customWidth="1"/>
    <col min="2" max="2" width="20.140625" customWidth="1"/>
    <col min="3" max="3" width="16" customWidth="1"/>
    <col min="4" max="4" width="17.5703125" customWidth="1"/>
    <col min="5" max="5" width="17" customWidth="1"/>
    <col min="6" max="6" width="11.28515625" customWidth="1"/>
    <col min="7" max="7" width="15.28515625" customWidth="1"/>
  </cols>
  <sheetData>
    <row r="1" spans="1:8" ht="23.25" x14ac:dyDescent="0.35">
      <c r="A1" s="12" t="s">
        <v>0</v>
      </c>
      <c r="B1" s="12"/>
      <c r="C1" s="12"/>
      <c r="D1" s="12"/>
      <c r="E1" s="12"/>
      <c r="F1" s="12"/>
      <c r="G1" s="12"/>
    </row>
    <row r="2" spans="1:8" ht="18.75" x14ac:dyDescent="0.3">
      <c r="A2" s="13" t="s">
        <v>14</v>
      </c>
      <c r="B2" s="13"/>
      <c r="C2" s="13"/>
      <c r="D2" s="13"/>
      <c r="E2" s="13"/>
      <c r="F2" s="13"/>
      <c r="G2" s="13"/>
    </row>
    <row r="3" spans="1:8" ht="18.75" x14ac:dyDescent="0.3">
      <c r="A3" s="4" t="s">
        <v>13</v>
      </c>
      <c r="B3" s="5">
        <v>55</v>
      </c>
      <c r="E3" s="3"/>
      <c r="F3" s="3"/>
      <c r="G3" s="3"/>
    </row>
    <row r="5" spans="1:8" ht="30" x14ac:dyDescent="0.2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2"/>
    </row>
    <row r="6" spans="1:8" x14ac:dyDescent="0.25">
      <c r="A6" s="7" t="s">
        <v>8</v>
      </c>
      <c r="B6" s="7" t="s">
        <v>11</v>
      </c>
      <c r="C6" s="8">
        <v>41275</v>
      </c>
      <c r="D6" s="8">
        <v>41332</v>
      </c>
      <c r="E6" s="9">
        <v>6</v>
      </c>
      <c r="F6" s="10">
        <f>NETWORKDAYS.INTL(C6,D6,11,FERIADOS!A:A)</f>
        <v>47</v>
      </c>
      <c r="G6" s="11">
        <f>E6*F6*B$3</f>
        <v>15510</v>
      </c>
    </row>
    <row r="7" spans="1:8" x14ac:dyDescent="0.25">
      <c r="A7" s="7" t="s">
        <v>9</v>
      </c>
      <c r="B7" s="7" t="s">
        <v>12</v>
      </c>
      <c r="C7" s="8">
        <v>41284</v>
      </c>
      <c r="D7" s="8">
        <v>41318</v>
      </c>
      <c r="E7" s="9">
        <v>6</v>
      </c>
      <c r="F7" s="10">
        <f>NETWORKDAYS.INTL(C7,D7,11,FERIADOS!A:A)</f>
        <v>28</v>
      </c>
      <c r="G7" s="11">
        <f t="shared" ref="G7:G16" si="0">E7*F7*B$3</f>
        <v>9240</v>
      </c>
    </row>
    <row r="8" spans="1:8" x14ac:dyDescent="0.25">
      <c r="A8" s="7" t="s">
        <v>10</v>
      </c>
      <c r="B8" s="7" t="s">
        <v>11</v>
      </c>
      <c r="C8" s="8">
        <v>41336</v>
      </c>
      <c r="D8" s="8">
        <v>41374</v>
      </c>
      <c r="E8" s="9">
        <v>8</v>
      </c>
      <c r="F8" s="10">
        <f>NETWORKDAYS.INTL(C8,D8,11,FERIADOS!A:A)</f>
        <v>32</v>
      </c>
      <c r="G8" s="11">
        <f t="shared" si="0"/>
        <v>14080</v>
      </c>
    </row>
    <row r="9" spans="1:8" x14ac:dyDescent="0.25">
      <c r="A9" s="7" t="s">
        <v>9</v>
      </c>
      <c r="B9" s="7" t="s">
        <v>12</v>
      </c>
      <c r="C9" s="8">
        <v>41353</v>
      </c>
      <c r="D9" s="8">
        <v>41379</v>
      </c>
      <c r="E9" s="9">
        <v>4</v>
      </c>
      <c r="F9" s="10">
        <f>NETWORKDAYS.INTL(C9,D9,11,FERIADOS!A:A)</f>
        <v>22</v>
      </c>
      <c r="G9" s="11">
        <f t="shared" si="0"/>
        <v>4840</v>
      </c>
    </row>
    <row r="10" spans="1:8" x14ac:dyDescent="0.25">
      <c r="A10" s="7" t="s">
        <v>10</v>
      </c>
      <c r="B10" s="7" t="s">
        <v>12</v>
      </c>
      <c r="C10" s="8">
        <v>41396</v>
      </c>
      <c r="D10" s="8">
        <v>41424</v>
      </c>
      <c r="E10" s="9">
        <v>4</v>
      </c>
      <c r="F10" s="10">
        <f>NETWORKDAYS.INTL(C10,D10,11,FERIADOS!A:A)</f>
        <v>24</v>
      </c>
      <c r="G10" s="11">
        <f t="shared" si="0"/>
        <v>5280</v>
      </c>
    </row>
    <row r="11" spans="1:8" x14ac:dyDescent="0.25">
      <c r="A11" s="7" t="s">
        <v>8</v>
      </c>
      <c r="B11" s="7" t="s">
        <v>11</v>
      </c>
      <c r="C11" s="8">
        <v>41405</v>
      </c>
      <c r="D11" s="8">
        <v>41412</v>
      </c>
      <c r="E11" s="9">
        <v>6</v>
      </c>
      <c r="F11" s="10">
        <f>NETWORKDAYS.INTL(C11,D11,11,FERIADOS!A:A)</f>
        <v>7</v>
      </c>
      <c r="G11" s="11">
        <f t="shared" si="0"/>
        <v>2310</v>
      </c>
    </row>
    <row r="12" spans="1:8" x14ac:dyDescent="0.25">
      <c r="A12" s="7" t="s">
        <v>8</v>
      </c>
      <c r="B12" s="7" t="s">
        <v>11</v>
      </c>
      <c r="C12" s="8">
        <v>41426</v>
      </c>
      <c r="D12" s="8">
        <v>41445</v>
      </c>
      <c r="E12" s="9">
        <v>8</v>
      </c>
      <c r="F12" s="10">
        <f>NETWORKDAYS.INTL(C12,D12,11,FERIADOS!A:A)</f>
        <v>17</v>
      </c>
      <c r="G12" s="11">
        <f t="shared" si="0"/>
        <v>7480</v>
      </c>
    </row>
    <row r="13" spans="1:8" x14ac:dyDescent="0.25">
      <c r="A13" s="7" t="s">
        <v>10</v>
      </c>
      <c r="B13" s="7" t="s">
        <v>11</v>
      </c>
      <c r="C13" s="8">
        <v>41435</v>
      </c>
      <c r="D13" s="8">
        <v>41460</v>
      </c>
      <c r="E13" s="9">
        <v>6</v>
      </c>
      <c r="F13" s="10">
        <f>NETWORKDAYS.INTL(C13,D13,11,FERIADOS!A:A)</f>
        <v>23</v>
      </c>
      <c r="G13" s="11">
        <f t="shared" si="0"/>
        <v>7590</v>
      </c>
    </row>
    <row r="14" spans="1:8" x14ac:dyDescent="0.25">
      <c r="A14" s="7" t="s">
        <v>9</v>
      </c>
      <c r="B14" s="7" t="s">
        <v>12</v>
      </c>
      <c r="C14" s="8">
        <v>41436</v>
      </c>
      <c r="D14" s="8">
        <v>41448</v>
      </c>
      <c r="E14" s="9">
        <v>4</v>
      </c>
      <c r="F14" s="10">
        <f>NETWORKDAYS.INTL(C14,D14,11,FERIADOS!A:A)</f>
        <v>11</v>
      </c>
      <c r="G14" s="11">
        <f t="shared" si="0"/>
        <v>2420</v>
      </c>
    </row>
    <row r="15" spans="1:8" x14ac:dyDescent="0.25">
      <c r="A15" s="7" t="s">
        <v>10</v>
      </c>
      <c r="B15" s="7" t="s">
        <v>11</v>
      </c>
      <c r="C15" s="8">
        <v>41465</v>
      </c>
      <c r="D15" s="8">
        <v>41478</v>
      </c>
      <c r="E15" s="9">
        <v>4</v>
      </c>
      <c r="F15" s="10">
        <f>NETWORKDAYS.INTL(C15,D15,11,FERIADOS!A:A)</f>
        <v>12</v>
      </c>
      <c r="G15" s="11">
        <f t="shared" si="0"/>
        <v>2640</v>
      </c>
    </row>
    <row r="16" spans="1:8" x14ac:dyDescent="0.25">
      <c r="A16" s="7" t="s">
        <v>8</v>
      </c>
      <c r="B16" s="7" t="s">
        <v>11</v>
      </c>
      <c r="C16" s="8">
        <v>41470</v>
      </c>
      <c r="D16" s="8">
        <v>41486</v>
      </c>
      <c r="E16" s="9">
        <v>8</v>
      </c>
      <c r="F16" s="10">
        <f>NETWORKDAYS.INTL(C16,D16,11,FERIADOS!A:A)</f>
        <v>15</v>
      </c>
      <c r="G16" s="11">
        <f t="shared" si="0"/>
        <v>6600</v>
      </c>
    </row>
    <row r="19" spans="4:5" x14ac:dyDescent="0.25">
      <c r="D19" s="1"/>
      <c r="E19" s="1"/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F12" sqref="F12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>
        <v>41275</v>
      </c>
    </row>
    <row r="2" spans="1:1" x14ac:dyDescent="0.25">
      <c r="A2" s="1">
        <v>41299</v>
      </c>
    </row>
    <row r="3" spans="1:1" x14ac:dyDescent="0.25">
      <c r="A3" s="1">
        <v>41317</v>
      </c>
    </row>
    <row r="4" spans="1:1" x14ac:dyDescent="0.25">
      <c r="A4" s="1">
        <v>41362</v>
      </c>
    </row>
    <row r="5" spans="1:1" x14ac:dyDescent="0.25">
      <c r="A5" s="1">
        <v>41385</v>
      </c>
    </row>
    <row r="6" spans="1:1" x14ac:dyDescent="0.25">
      <c r="A6" s="1">
        <v>41395</v>
      </c>
    </row>
    <row r="7" spans="1:1" x14ac:dyDescent="0.25">
      <c r="A7" s="1">
        <v>41424</v>
      </c>
    </row>
    <row r="8" spans="1:1" x14ac:dyDescent="0.25">
      <c r="A8" s="1">
        <v>40733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RELATORIO</vt:lpstr>
      <vt:lpstr>FERIADOS</vt:lpstr>
      <vt:lpstr>Função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Usuário Local</cp:lastModifiedBy>
  <dcterms:created xsi:type="dcterms:W3CDTF">2011-06-21T19:41:01Z</dcterms:created>
  <dcterms:modified xsi:type="dcterms:W3CDTF">2026-03-30T17:06:01Z</dcterms:modified>
</cp:coreProperties>
</file>